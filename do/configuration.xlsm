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B2\01 - Households\10 - Labour supply model\02 - Working area\02 - Training\EUROLAB 1.0\do\"/>
    </mc:Choice>
  </mc:AlternateContent>
  <bookViews>
    <workbookView xWindow="240" yWindow="0" windowWidth="4905" windowHeight="435"/>
  </bookViews>
  <sheets>
    <sheet name="Arguments" sheetId="4" r:id="rId1"/>
    <sheet name="Loading" sheetId="8" r:id="rId2"/>
    <sheet name="LookupList" sheetId="6" r:id="rId3"/>
  </sheets>
  <calcPr calcId="162913"/>
</workbook>
</file>

<file path=xl/calcChain.xml><?xml version="1.0" encoding="utf-8"?>
<calcChain xmlns="http://schemas.openxmlformats.org/spreadsheetml/2006/main">
  <c r="I2" i="6" l="1"/>
</calcChain>
</file>

<file path=xl/sharedStrings.xml><?xml version="1.0" encoding="utf-8"?>
<sst xmlns="http://schemas.openxmlformats.org/spreadsheetml/2006/main" count="201" uniqueCount="169">
  <si>
    <t>Please modify the values in the shadowed areas accordingly.</t>
  </si>
  <si>
    <t>Argument description</t>
  </si>
  <si>
    <t>Value</t>
  </si>
  <si>
    <t>Examples:</t>
  </si>
  <si>
    <t>path_init</t>
  </si>
  <si>
    <t>Parameter</t>
  </si>
  <si>
    <t>Current execution folder</t>
  </si>
  <si>
    <t>new_reforms</t>
  </si>
  <si>
    <t>filenames</t>
  </si>
  <si>
    <t>cy_2015_a1</t>
  </si>
  <si>
    <t>Name of policy</t>
  </si>
  <si>
    <t>Dataset</t>
  </si>
  <si>
    <t>Type of household</t>
  </si>
  <si>
    <t>types</t>
  </si>
  <si>
    <t>singf singm couples</t>
  </si>
  <si>
    <t>Type of scenarios</t>
  </si>
  <si>
    <t>reforms</t>
  </si>
  <si>
    <t>EUROMOD version</t>
  </si>
  <si>
    <t>uiversion</t>
  </si>
  <si>
    <t>Do-file selection</t>
  </si>
  <si>
    <t>PREPAREDATA</t>
  </si>
  <si>
    <t>SIMULATION_DPI</t>
  </si>
  <si>
    <t>USEOLD</t>
  </si>
  <si>
    <t>LS_ESTIM</t>
  </si>
  <si>
    <t>LS_PRED</t>
  </si>
  <si>
    <t>1. Prepare Data</t>
  </si>
  <si>
    <t>3. Simulation DPI (disposable Income)</t>
  </si>
  <si>
    <t>Check if data exist, use existing or simulate</t>
  </si>
  <si>
    <t>7. LS prediction</t>
  </si>
  <si>
    <t>7. LS elasticities</t>
  </si>
  <si>
    <t>8. Calculate ITRs</t>
  </si>
  <si>
    <t>0 or 1</t>
  </si>
  <si>
    <t>GLOBAL PARAMETERS</t>
  </si>
  <si>
    <t>RUN_COUNTERFACTUALS</t>
  </si>
  <si>
    <t>Calculate Counterfactuals in file 1</t>
  </si>
  <si>
    <t>OUTPUT</t>
  </si>
  <si>
    <t>LS_ELAST</t>
  </si>
  <si>
    <t>LS_DEMAND</t>
  </si>
  <si>
    <t>ITR</t>
  </si>
  <si>
    <t>BOOTSTRAP</t>
  </si>
  <si>
    <t>BOOTSTRAP_REPLACEPOST</t>
  </si>
  <si>
    <t>CALC_BS_SE</t>
  </si>
  <si>
    <t>FREQUENCY_WEIGHTS</t>
  </si>
  <si>
    <t>FLEX_SELECT</t>
  </si>
  <si>
    <t>Get bootstrapped standard errors of elasticities</t>
  </si>
  <si>
    <t>IF set to 1, replace existing postfile. Otherwise append</t>
  </si>
  <si>
    <t>UI Version</t>
  </si>
  <si>
    <t>Minimum age of LS sample</t>
  </si>
  <si>
    <t>Maximum age of LS sample</t>
  </si>
  <si>
    <t xml:space="preserve">EUROMOD </t>
  </si>
  <si>
    <t>4. Prepare Clogit Variables</t>
  </si>
  <si>
    <t>6. Labor supply estimation - clogit</t>
  </si>
  <si>
    <t>8. Labour Demand</t>
  </si>
  <si>
    <t>HOURS_DISTRIBUTION</t>
  </si>
  <si>
    <t>WAGE_PREDICTION</t>
  </si>
  <si>
    <t>Explanations</t>
  </si>
  <si>
    <t>base: baseline; m,f: elasticity; new_pol: reforms</t>
  </si>
  <si>
    <t xml:space="preserve">singm:HH with single male head, singf:HH with single female head,couples:HH with partnered head,  </t>
  </si>
  <si>
    <t>Name of reforms, year_name (in small letters)</t>
  </si>
  <si>
    <t>name of dataset</t>
  </si>
  <si>
    <t>INPUT_DATA</t>
  </si>
  <si>
    <t>MIN_AGE</t>
  </si>
  <si>
    <t>MAX_AGE</t>
  </si>
  <si>
    <t>NEW_BS_WEIGHTS</t>
  </si>
  <si>
    <t>EUROMOD-LS BEHAVIOURAL MICROSIMULATION MODEL FOR EU COUNTRIES</t>
  </si>
  <si>
    <t>8. Graphs</t>
  </si>
  <si>
    <t>GRAPHS</t>
  </si>
  <si>
    <t>Choice Set</t>
  </si>
  <si>
    <t>SECTORS</t>
  </si>
  <si>
    <t>EMPL_STATUS</t>
  </si>
  <si>
    <t>base m f new  (base m f)</t>
  </si>
  <si>
    <t>TEST</t>
  </si>
  <si>
    <t>Local_macro</t>
  </si>
  <si>
    <t>types_hh</t>
  </si>
  <si>
    <t>reforms_excel</t>
  </si>
  <si>
    <t>preparedata_e</t>
  </si>
  <si>
    <t>simulation_dpi_e</t>
  </si>
  <si>
    <t>useold_e</t>
  </si>
  <si>
    <t>output_e</t>
  </si>
  <si>
    <t>ls_estim_e</t>
  </si>
  <si>
    <t>ls_pred_e</t>
  </si>
  <si>
    <t>ls_elast_e</t>
  </si>
  <si>
    <t>ls_demand_e</t>
  </si>
  <si>
    <t>itr_e</t>
  </si>
  <si>
    <t>graphs_e</t>
  </si>
  <si>
    <t>run_counterfactuals_e</t>
  </si>
  <si>
    <t>bootstrap_e</t>
  </si>
  <si>
    <t>bootstrap_replacepost_e</t>
  </si>
  <si>
    <t>calc_bs_se_e</t>
  </si>
  <si>
    <t>new_bs_weights_e</t>
  </si>
  <si>
    <t>frequency_weights_e</t>
  </si>
  <si>
    <t>hours_distribution_e</t>
  </si>
  <si>
    <t>wage_prediction_e</t>
  </si>
  <si>
    <t>flex_select_e</t>
  </si>
  <si>
    <t>input_data_e</t>
  </si>
  <si>
    <t>min_age_e</t>
  </si>
  <si>
    <t>max_age_e</t>
  </si>
  <si>
    <t>sectors_e</t>
  </si>
  <si>
    <t>empl_status_e</t>
  </si>
  <si>
    <t>test_e</t>
  </si>
  <si>
    <t>num_hours</t>
  </si>
  <si>
    <t>SELMLOG</t>
  </si>
  <si>
    <t>Sample Selection and Wage prediction</t>
  </si>
  <si>
    <t>Eligible sample</t>
  </si>
  <si>
    <t>Hours Distribution</t>
  </si>
  <si>
    <t>Sectors</t>
  </si>
  <si>
    <t>Hours</t>
  </si>
  <si>
    <t>Employment Statuses</t>
  </si>
  <si>
    <t>Unemployment choice</t>
  </si>
  <si>
    <t>UNEMPLOYMENT</t>
  </si>
  <si>
    <t>HOURS</t>
  </si>
  <si>
    <t>unemployment</t>
  </si>
  <si>
    <t>base m f new</t>
  </si>
  <si>
    <t>hoursDist</t>
  </si>
  <si>
    <t>EUROMOD input data</t>
  </si>
  <si>
    <t>SILC</t>
  </si>
  <si>
    <t>All</t>
  </si>
  <si>
    <t>Only Employee</t>
  </si>
  <si>
    <t>Employee and Self-employed</t>
  </si>
  <si>
    <t>lastTextBox</t>
  </si>
  <si>
    <t xml:space="preserve">singf singm couples </t>
  </si>
  <si>
    <t>Non_essential, Essential</t>
  </si>
  <si>
    <t>Fixed hours</t>
  </si>
  <si>
    <t>Random sampled</t>
  </si>
  <si>
    <t>Sampled from distribution</t>
  </si>
  <si>
    <t>countPolicies</t>
  </si>
  <si>
    <t>3.3.4</t>
  </si>
  <si>
    <t>Dagsvik-Strom</t>
  </si>
  <si>
    <t>Dubin-McFadden</t>
  </si>
  <si>
    <t>I2.67+ is the original version used for EUROLAB</t>
  </si>
  <si>
    <t>3.3.4 is the original UI version used for EUROLAB</t>
  </si>
  <si>
    <t>EM_G2</t>
  </si>
  <si>
    <t>em_g2_e</t>
  </si>
  <si>
    <t>Variant of Dubin-McFadden</t>
  </si>
  <si>
    <t>Observed</t>
  </si>
  <si>
    <t>Predicted</t>
  </si>
  <si>
    <t>ACTUAL_WAGE</t>
  </si>
  <si>
    <t>actual_wage_e</t>
  </si>
  <si>
    <t>STATA version</t>
  </si>
  <si>
    <t>Default is 0</t>
  </si>
  <si>
    <t>Default is 1. Estimate hourly wages and produce counterfactual datasets</t>
  </si>
  <si>
    <t>Default is 1. Runs EUROMOD and build budget constraints datasets</t>
  </si>
  <si>
    <t>Default is 1.</t>
  </si>
  <si>
    <t>Default is 1. OUTPUT and LS_ESTIM run together</t>
  </si>
  <si>
    <t>Default is 1. LS_ELAST and CALC_BS_SE run together</t>
  </si>
  <si>
    <t>Default is 1. Prepare the variables needed for clogit. It adopts the value of LS_ESTIM</t>
  </si>
  <si>
    <t>Defaults is 1. It adopts the value of LS_ELAST</t>
  </si>
  <si>
    <t>Deafults is 2. 1) Dagsvik Strom, 2)Variant of Dubin Mcfadden, 3)Dubin Mcfadden.</t>
  </si>
  <si>
    <t>Default is 64</t>
  </si>
  <si>
    <t>Default is 20</t>
  </si>
  <si>
    <t>Default is 2. 0) Fixed hours, 1) Random sampled, 2) Sampled from distribution</t>
  </si>
  <si>
    <t>1 if time unit is based on survey year, 0 if based on income year (Set to 1 and kept fixed, not included in EUROLAB as argument)</t>
  </si>
  <si>
    <t xml:space="preserve">This field is fixed and equal to 0, it is not included as argument in EUROLAB. </t>
  </si>
  <si>
    <t>0) SILC data, 1) EUROMOD input data. Set to 0 and kept fixed. Not offered in EUROLAB as argument</t>
  </si>
  <si>
    <t>3, 4, 5</t>
  </si>
  <si>
    <t>Default is 4</t>
  </si>
  <si>
    <t>Defaults is 1. 1) All, 2)Non_essential, Essential</t>
  </si>
  <si>
    <t>1 or 2</t>
  </si>
  <si>
    <t>Default is 2. Option 1) Only Employee or 2) Employee and Selfemployed</t>
  </si>
  <si>
    <t>0, 1, 2</t>
  </si>
  <si>
    <t>Default is 0. We keep 30% of the sample for testing reasons.</t>
  </si>
  <si>
    <t>LD_ELA</t>
  </si>
  <si>
    <t>ld_ela_e</t>
  </si>
  <si>
    <t>Deafult is 0.5. Accepted values range between 0 and 1</t>
  </si>
  <si>
    <t>Default is 1. 0) Predicted Wage, 1)Observed Wage</t>
  </si>
  <si>
    <t>R:\B2\01 - Households\10 - Labour supply model\02 - Working area\02 - Training\EUROLAB 1.0\do</t>
  </si>
  <si>
    <t>R:\B2\01 - Households\10 - Labour supply model\02 - Working area\02 - Training\EUROLAB 1.0\EUROMOD_MASTER_VERSION_I4.167</t>
  </si>
  <si>
    <t>lt_2019_a3</t>
  </si>
  <si>
    <t>2022_ba 2022_bsa  2022_tin  2022_cb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</si>
</sst>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b/>
      <u/>
      <sz val="11"/>
      <color theme="1"/>
      <name val="Tahoma"/>
      <family val="2"/>
    </font>
    <font>
      <sz val="12"/>
      <color theme="1"/>
      <name val="MetaPro-Normal"/>
      <family val="2"/>
    </font>
    <font>
      <sz val="11"/>
      <color rgb="FFFF0000"/>
      <name val="Tahoma"/>
      <family val="2"/>
    </font>
    <font>
      <b/>
      <sz val="11"/>
      <color rgb="FFFF0000"/>
      <name val="Tahoma"/>
      <family val="2"/>
    </font>
    <font>
      <b/>
      <sz val="16"/>
      <color theme="3" tint="-0.249977111117893"/>
      <name val="Tahoma"/>
      <family val="2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72"/>
      <color theme="8" tint="-0.249977111117893"/>
      <name val="Microsoft Sans Serif"/>
      <family val="2"/>
    </font>
    <font>
      <b/>
      <sz val="72"/>
      <color rgb="FF104299"/>
      <name val="Microsoft Sans Serif"/>
      <family val="2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1E2E7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/>
    <xf numFmtId="0" fontId="8" fillId="0" borderId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6" borderId="0" xfId="0" applyFont="1" applyFill="1" applyBorder="1" applyAlignment="1">
      <alignment horizontal="left" vertical="center"/>
    </xf>
    <xf numFmtId="0" fontId="1" fillId="6" borderId="9" xfId="0" applyFont="1" applyFill="1" applyBorder="1" applyAlignment="1">
      <alignment horizontal="left" vertical="center"/>
    </xf>
    <xf numFmtId="0" fontId="0" fillId="7" borderId="0" xfId="0" applyFill="1"/>
    <xf numFmtId="0" fontId="13" fillId="7" borderId="0" xfId="0" applyFont="1" applyFill="1" applyAlignment="1"/>
    <xf numFmtId="0" fontId="12" fillId="7" borderId="0" xfId="0" applyFont="1" applyFill="1" applyAlignment="1">
      <alignment horizontal="center"/>
    </xf>
    <xf numFmtId="0" fontId="15" fillId="0" borderId="0" xfId="0" applyFont="1"/>
    <xf numFmtId="0" fontId="1" fillId="2" borderId="7" xfId="0" applyFont="1" applyFill="1" applyBorder="1" applyAlignment="1">
      <alignment vertical="center"/>
    </xf>
    <xf numFmtId="0" fontId="5" fillId="2" borderId="15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5" fillId="2" borderId="15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 wrapText="1"/>
    </xf>
    <xf numFmtId="0" fontId="3" fillId="2" borderId="17" xfId="0" applyFont="1" applyFill="1" applyBorder="1" applyAlignment="1">
      <alignment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/>
    </xf>
    <xf numFmtId="0" fontId="2" fillId="2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center"/>
    </xf>
  </cellXfs>
  <cellStyles count="5">
    <cellStyle name="Hyperlink 2" xfId="4"/>
    <cellStyle name="Normal" xfId="0" builtinId="0"/>
    <cellStyle name="Normal 2" xfId="3"/>
    <cellStyle name="Standard 2" xfId="1"/>
    <cellStyle name="Standard 3" xfId="2"/>
  </cellStyles>
  <dxfs count="0"/>
  <tableStyles count="0" defaultTableStyle="TableStyleMedium2" defaultPivotStyle="PivotStyleMedium9"/>
  <colors>
    <mruColors>
      <color rgb="FF104299"/>
      <color rgb="FFC1E2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2619375</xdr:colOff>
      <xdr:row>8</xdr:row>
      <xdr:rowOff>1047750</xdr:rowOff>
    </xdr:from>
    <xdr:to>
      <xdr:col>12</xdr:col>
      <xdr:colOff>76200</xdr:colOff>
      <xdr:row>16</xdr:row>
      <xdr:rowOff>66675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2571750"/>
          <a:ext cx="4991100" cy="1638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65"/>
  <sheetViews>
    <sheetView tabSelected="1" topLeftCell="C1" zoomScale="80" zoomScaleNormal="80" workbookViewId="0">
      <selection activeCell="I7" sqref="I7"/>
    </sheetView>
  </sheetViews>
  <sheetFormatPr defaultColWidth="10.28515625" defaultRowHeight="14.25"/>
  <cols>
    <col min="1" max="1" width="7.28515625" style="45" customWidth="1"/>
    <col min="2" max="2" width="48.42578125" style="45" customWidth="1"/>
    <col min="3" max="3" width="33.28515625" style="46" customWidth="1"/>
    <col min="4" max="4" width="33.42578125" style="46" bestFit="1" customWidth="1"/>
    <col min="5" max="5" width="83" style="45" customWidth="1"/>
    <col min="6" max="6" width="0.7109375" style="45" customWidth="1"/>
    <col min="7" max="7" width="27.28515625" style="45" customWidth="1"/>
    <col min="8" max="8" width="132.85546875" style="45" bestFit="1" customWidth="1"/>
    <col min="9" max="16384" width="10.28515625" style="45"/>
  </cols>
  <sheetData>
    <row r="1" spans="2:8" ht="10.15" customHeight="1"/>
    <row r="2" spans="2:8" ht="34.5" customHeight="1">
      <c r="B2" s="43"/>
      <c r="C2" s="47" t="s">
        <v>64</v>
      </c>
      <c r="D2" s="47"/>
      <c r="E2" s="43"/>
      <c r="F2" s="43"/>
      <c r="G2" s="43"/>
    </row>
    <row r="3" spans="2:8" ht="21" customHeight="1">
      <c r="E3" s="7"/>
      <c r="F3" s="40"/>
      <c r="G3" s="40"/>
    </row>
    <row r="4" spans="2:8" ht="20.25" customHeight="1">
      <c r="B4" s="45" t="s">
        <v>0</v>
      </c>
    </row>
    <row r="5" spans="2:8" ht="27.75" customHeight="1" thickBot="1"/>
    <row r="6" spans="2:8" ht="25.15" customHeight="1" thickBot="1">
      <c r="B6" s="1" t="s">
        <v>1</v>
      </c>
      <c r="C6" s="3" t="s">
        <v>5</v>
      </c>
      <c r="D6" s="20" t="s">
        <v>72</v>
      </c>
      <c r="E6" s="3" t="s">
        <v>2</v>
      </c>
      <c r="F6" s="2"/>
      <c r="G6" s="36" t="s">
        <v>3</v>
      </c>
      <c r="H6" s="21" t="s">
        <v>55</v>
      </c>
    </row>
    <row r="7" spans="2:8" ht="25.15" customHeight="1" thickTop="1">
      <c r="B7" s="13" t="s">
        <v>6</v>
      </c>
      <c r="C7" s="8" t="s">
        <v>4</v>
      </c>
      <c r="D7" s="8" t="s">
        <v>4</v>
      </c>
      <c r="E7" s="28" t="s">
        <v>165</v>
      </c>
      <c r="F7" s="4"/>
      <c r="G7" s="37"/>
      <c r="H7" s="48"/>
    </row>
    <row r="8" spans="2:8" ht="25.15" customHeight="1">
      <c r="B8" s="5" t="s">
        <v>10</v>
      </c>
      <c r="C8" s="8" t="s">
        <v>7</v>
      </c>
      <c r="D8" s="8" t="s">
        <v>7</v>
      </c>
      <c r="E8" s="28" t="s">
        <v>168</v>
      </c>
      <c r="F8" s="7"/>
      <c r="G8" s="34"/>
      <c r="H8" s="44" t="s">
        <v>58</v>
      </c>
    </row>
    <row r="9" spans="2:8" ht="25.15" customHeight="1">
      <c r="B9" s="5" t="s">
        <v>11</v>
      </c>
      <c r="C9" s="8" t="s">
        <v>8</v>
      </c>
      <c r="D9" s="8" t="s">
        <v>8</v>
      </c>
      <c r="E9" s="28" t="s">
        <v>167</v>
      </c>
      <c r="F9" s="7"/>
      <c r="G9" s="34" t="s">
        <v>9</v>
      </c>
      <c r="H9" s="44" t="s">
        <v>59</v>
      </c>
    </row>
    <row r="10" spans="2:8" ht="25.15" customHeight="1">
      <c r="B10" s="5" t="s">
        <v>12</v>
      </c>
      <c r="C10" s="8" t="s">
        <v>13</v>
      </c>
      <c r="D10" s="8" t="s">
        <v>73</v>
      </c>
      <c r="E10" s="28" t="s">
        <v>120</v>
      </c>
      <c r="F10" s="7"/>
      <c r="G10" s="34" t="s">
        <v>14</v>
      </c>
      <c r="H10" s="44" t="s">
        <v>57</v>
      </c>
    </row>
    <row r="11" spans="2:8" ht="25.15" customHeight="1">
      <c r="B11" s="15" t="s">
        <v>15</v>
      </c>
      <c r="C11" s="16" t="s">
        <v>16</v>
      </c>
      <c r="D11" s="16" t="s">
        <v>74</v>
      </c>
      <c r="E11" s="18" t="s">
        <v>112</v>
      </c>
      <c r="F11" s="19"/>
      <c r="G11" s="38" t="s">
        <v>70</v>
      </c>
      <c r="H11" s="44" t="s">
        <v>56</v>
      </c>
    </row>
    <row r="12" spans="2:8" ht="25.15" customHeight="1">
      <c r="B12" s="9" t="s">
        <v>19</v>
      </c>
      <c r="C12" s="8"/>
      <c r="D12" s="8"/>
      <c r="E12" s="10"/>
      <c r="F12" s="6"/>
      <c r="G12" s="34"/>
      <c r="H12" s="44"/>
    </row>
    <row r="13" spans="2:8" ht="25.15" customHeight="1">
      <c r="B13" s="5" t="s">
        <v>25</v>
      </c>
      <c r="C13" s="8" t="s">
        <v>20</v>
      </c>
      <c r="D13" s="8" t="s">
        <v>75</v>
      </c>
      <c r="E13" s="28">
        <v>1</v>
      </c>
      <c r="F13" s="6"/>
      <c r="G13" s="34" t="s">
        <v>31</v>
      </c>
      <c r="H13" s="44" t="s">
        <v>140</v>
      </c>
    </row>
    <row r="14" spans="2:8" ht="25.15" customHeight="1">
      <c r="B14" s="5" t="s">
        <v>26</v>
      </c>
      <c r="C14" s="8" t="s">
        <v>21</v>
      </c>
      <c r="D14" s="8" t="s">
        <v>76</v>
      </c>
      <c r="E14" s="28">
        <v>1</v>
      </c>
      <c r="F14" s="6"/>
      <c r="G14" s="34" t="s">
        <v>31</v>
      </c>
      <c r="H14" s="44" t="s">
        <v>141</v>
      </c>
    </row>
    <row r="15" spans="2:8" ht="25.15" customHeight="1">
      <c r="B15" s="5" t="s">
        <v>27</v>
      </c>
      <c r="C15" s="8" t="s">
        <v>22</v>
      </c>
      <c r="D15" s="8" t="s">
        <v>77</v>
      </c>
      <c r="E15" s="11">
        <v>0</v>
      </c>
      <c r="F15" s="6"/>
      <c r="G15" s="34" t="s">
        <v>31</v>
      </c>
      <c r="H15" s="44" t="s">
        <v>152</v>
      </c>
    </row>
    <row r="16" spans="2:8" ht="25.15" customHeight="1">
      <c r="B16" s="5" t="s">
        <v>50</v>
      </c>
      <c r="C16" s="8" t="s">
        <v>35</v>
      </c>
      <c r="D16" s="8" t="s">
        <v>78</v>
      </c>
      <c r="E16" s="28">
        <v>1</v>
      </c>
      <c r="F16" s="6"/>
      <c r="G16" s="34" t="s">
        <v>31</v>
      </c>
      <c r="H16" s="44" t="s">
        <v>145</v>
      </c>
    </row>
    <row r="17" spans="2:8" ht="25.15" customHeight="1">
      <c r="B17" s="5" t="s">
        <v>51</v>
      </c>
      <c r="C17" s="8" t="s">
        <v>23</v>
      </c>
      <c r="D17" s="8" t="s">
        <v>79</v>
      </c>
      <c r="E17" s="28">
        <v>1</v>
      </c>
      <c r="F17" s="6"/>
      <c r="G17" s="34" t="s">
        <v>31</v>
      </c>
      <c r="H17" s="44" t="s">
        <v>143</v>
      </c>
    </row>
    <row r="18" spans="2:8" ht="25.15" customHeight="1">
      <c r="B18" s="5" t="s">
        <v>28</v>
      </c>
      <c r="C18" s="8" t="s">
        <v>24</v>
      </c>
      <c r="D18" s="8" t="s">
        <v>80</v>
      </c>
      <c r="E18" s="28">
        <v>1</v>
      </c>
      <c r="F18" s="6"/>
      <c r="G18" s="34" t="s">
        <v>31</v>
      </c>
      <c r="H18" s="44" t="s">
        <v>142</v>
      </c>
    </row>
    <row r="19" spans="2:8" ht="25.15" customHeight="1">
      <c r="B19" s="5" t="s">
        <v>29</v>
      </c>
      <c r="C19" s="8" t="s">
        <v>36</v>
      </c>
      <c r="D19" s="8" t="s">
        <v>81</v>
      </c>
      <c r="E19" s="28">
        <v>1</v>
      </c>
      <c r="F19" s="6"/>
      <c r="G19" s="34" t="s">
        <v>31</v>
      </c>
      <c r="H19" s="44" t="s">
        <v>144</v>
      </c>
    </row>
    <row r="20" spans="2:8" ht="25.15" customHeight="1">
      <c r="B20" s="5" t="s">
        <v>52</v>
      </c>
      <c r="C20" s="8" t="s">
        <v>37</v>
      </c>
      <c r="D20" s="8" t="s">
        <v>82</v>
      </c>
      <c r="E20" s="28">
        <v>1</v>
      </c>
      <c r="F20" s="6"/>
      <c r="G20" s="34" t="s">
        <v>31</v>
      </c>
      <c r="H20" s="44" t="s">
        <v>142</v>
      </c>
    </row>
    <row r="21" spans="2:8" ht="25.15" customHeight="1">
      <c r="B21" s="5" t="s">
        <v>30</v>
      </c>
      <c r="C21" s="8" t="s">
        <v>38</v>
      </c>
      <c r="D21" s="8" t="s">
        <v>83</v>
      </c>
      <c r="E21" s="11">
        <v>0</v>
      </c>
      <c r="F21" s="6"/>
      <c r="G21" s="34" t="s">
        <v>31</v>
      </c>
      <c r="H21" s="44"/>
    </row>
    <row r="22" spans="2:8" ht="25.15" customHeight="1">
      <c r="B22" s="15" t="s">
        <v>65</v>
      </c>
      <c r="C22" s="16" t="s">
        <v>66</v>
      </c>
      <c r="D22" s="16" t="s">
        <v>84</v>
      </c>
      <c r="E22" s="17">
        <v>0</v>
      </c>
      <c r="F22" s="6"/>
      <c r="G22" s="34" t="s">
        <v>31</v>
      </c>
      <c r="H22" s="44"/>
    </row>
    <row r="23" spans="2:8" ht="25.15" customHeight="1">
      <c r="B23" s="9" t="s">
        <v>49</v>
      </c>
      <c r="C23" s="8"/>
      <c r="D23" s="8"/>
      <c r="E23" s="10"/>
      <c r="F23" s="6"/>
      <c r="G23" s="34"/>
      <c r="H23" s="44"/>
    </row>
    <row r="24" spans="2:8" ht="25.15" customHeight="1">
      <c r="B24" s="5" t="s">
        <v>46</v>
      </c>
      <c r="C24" s="8" t="s">
        <v>18</v>
      </c>
      <c r="D24" s="8"/>
      <c r="E24" s="28" t="s">
        <v>126</v>
      </c>
      <c r="F24" s="6"/>
      <c r="G24" s="34"/>
      <c r="H24" s="44" t="s">
        <v>130</v>
      </c>
    </row>
    <row r="25" spans="2:8" ht="25.15" customHeight="1">
      <c r="B25" s="5" t="s">
        <v>17</v>
      </c>
      <c r="C25" s="8" t="s">
        <v>131</v>
      </c>
      <c r="D25" s="8" t="s">
        <v>132</v>
      </c>
      <c r="E25" s="28" t="s">
        <v>166</v>
      </c>
      <c r="F25" s="6"/>
      <c r="G25" s="34"/>
      <c r="H25" s="44" t="s">
        <v>129</v>
      </c>
    </row>
    <row r="26" spans="2:8" ht="25.15" customHeight="1">
      <c r="B26" s="9" t="s">
        <v>32</v>
      </c>
      <c r="C26" s="7"/>
      <c r="D26" s="7"/>
      <c r="E26" s="40"/>
      <c r="F26" s="40"/>
      <c r="G26" s="34"/>
      <c r="H26" s="44"/>
    </row>
    <row r="27" spans="2:8" ht="25.15" customHeight="1">
      <c r="B27" s="49" t="s">
        <v>34</v>
      </c>
      <c r="C27" s="8" t="s">
        <v>33</v>
      </c>
      <c r="D27" s="8" t="s">
        <v>85</v>
      </c>
      <c r="E27" s="12">
        <v>1</v>
      </c>
      <c r="F27" s="40"/>
      <c r="G27" s="34" t="s">
        <v>31</v>
      </c>
      <c r="H27" s="44"/>
    </row>
    <row r="28" spans="2:8" ht="25.15" customHeight="1">
      <c r="B28" s="49" t="s">
        <v>44</v>
      </c>
      <c r="C28" s="8" t="s">
        <v>39</v>
      </c>
      <c r="D28" s="8" t="s">
        <v>86</v>
      </c>
      <c r="E28" s="12">
        <v>0</v>
      </c>
      <c r="F28" s="40"/>
      <c r="G28" s="34" t="s">
        <v>31</v>
      </c>
      <c r="H28" s="44"/>
    </row>
    <row r="29" spans="2:8" ht="25.15" customHeight="1">
      <c r="B29" s="49" t="s">
        <v>45</v>
      </c>
      <c r="C29" s="8" t="s">
        <v>40</v>
      </c>
      <c r="D29" s="8" t="s">
        <v>87</v>
      </c>
      <c r="E29" s="12">
        <v>0</v>
      </c>
      <c r="F29" s="40"/>
      <c r="G29" s="34" t="s">
        <v>31</v>
      </c>
      <c r="H29" s="44"/>
    </row>
    <row r="30" spans="2:8" ht="25.15" customHeight="1">
      <c r="B30" s="49"/>
      <c r="C30" s="8" t="s">
        <v>41</v>
      </c>
      <c r="D30" s="8" t="s">
        <v>88</v>
      </c>
      <c r="E30" s="12">
        <v>1</v>
      </c>
      <c r="F30" s="40"/>
      <c r="G30" s="34" t="s">
        <v>31</v>
      </c>
      <c r="H30" s="44" t="s">
        <v>146</v>
      </c>
    </row>
    <row r="31" spans="2:8" ht="25.15" customHeight="1">
      <c r="B31" s="50"/>
      <c r="C31" s="8" t="s">
        <v>63</v>
      </c>
      <c r="D31" s="8" t="s">
        <v>89</v>
      </c>
      <c r="E31" s="12">
        <v>1</v>
      </c>
      <c r="F31" s="40"/>
      <c r="G31" s="34" t="s">
        <v>31</v>
      </c>
      <c r="H31" s="44"/>
    </row>
    <row r="32" spans="2:8" ht="25.15" customHeight="1">
      <c r="B32" s="49"/>
      <c r="C32" s="8" t="s">
        <v>42</v>
      </c>
      <c r="D32" s="8" t="s">
        <v>90</v>
      </c>
      <c r="E32" s="12">
        <v>0</v>
      </c>
      <c r="F32" s="40"/>
      <c r="G32" s="34" t="s">
        <v>31</v>
      </c>
      <c r="H32" s="44"/>
    </row>
    <row r="33" spans="2:8" ht="24.75" customHeight="1">
      <c r="B33" s="42"/>
      <c r="C33" s="16" t="s">
        <v>161</v>
      </c>
      <c r="D33" s="16" t="s">
        <v>162</v>
      </c>
      <c r="E33" s="14">
        <v>1</v>
      </c>
      <c r="F33" s="43"/>
      <c r="G33" s="34"/>
      <c r="H33" s="44" t="s">
        <v>163</v>
      </c>
    </row>
    <row r="34" spans="2:8" ht="25.15" customHeight="1">
      <c r="B34" s="9" t="s">
        <v>102</v>
      </c>
      <c r="C34" s="8" t="s">
        <v>136</v>
      </c>
      <c r="D34" s="8" t="s">
        <v>137</v>
      </c>
      <c r="E34" s="28">
        <v>1</v>
      </c>
      <c r="F34" s="40"/>
      <c r="G34" s="34" t="s">
        <v>31</v>
      </c>
      <c r="H34" s="35" t="s">
        <v>164</v>
      </c>
    </row>
    <row r="35" spans="2:8" ht="25.15" customHeight="1">
      <c r="B35" s="49" t="s">
        <v>54</v>
      </c>
      <c r="C35" s="8" t="s">
        <v>54</v>
      </c>
      <c r="D35" s="8" t="s">
        <v>92</v>
      </c>
      <c r="E35" s="28">
        <v>3</v>
      </c>
      <c r="F35" s="40"/>
      <c r="G35" s="34" t="s">
        <v>101</v>
      </c>
      <c r="H35" s="44" t="s">
        <v>147</v>
      </c>
    </row>
    <row r="36" spans="2:8" ht="25.15" customHeight="1">
      <c r="B36" s="49" t="s">
        <v>103</v>
      </c>
      <c r="C36" s="8" t="s">
        <v>43</v>
      </c>
      <c r="D36" s="8" t="s">
        <v>93</v>
      </c>
      <c r="E36" s="12">
        <v>1</v>
      </c>
      <c r="F36" s="40"/>
      <c r="G36" s="34" t="s">
        <v>31</v>
      </c>
      <c r="H36" s="44" t="s">
        <v>151</v>
      </c>
    </row>
    <row r="37" spans="2:8" ht="25.15" customHeight="1">
      <c r="B37" s="49" t="s">
        <v>104</v>
      </c>
      <c r="C37" s="8" t="s">
        <v>53</v>
      </c>
      <c r="D37" s="8" t="s">
        <v>91</v>
      </c>
      <c r="E37" s="28">
        <v>2</v>
      </c>
      <c r="F37" s="40"/>
      <c r="G37" s="34" t="s">
        <v>159</v>
      </c>
      <c r="H37" s="44" t="s">
        <v>150</v>
      </c>
    </row>
    <row r="38" spans="2:8" ht="25.15" customHeight="1">
      <c r="B38" s="49"/>
      <c r="C38" s="8" t="s">
        <v>60</v>
      </c>
      <c r="D38" s="8" t="s">
        <v>94</v>
      </c>
      <c r="E38" s="12">
        <v>0</v>
      </c>
      <c r="F38" s="40"/>
      <c r="G38" s="34" t="s">
        <v>31</v>
      </c>
      <c r="H38" s="44" t="s">
        <v>153</v>
      </c>
    </row>
    <row r="39" spans="2:8" ht="25.15" customHeight="1">
      <c r="B39" s="49"/>
      <c r="C39" s="8" t="s">
        <v>61</v>
      </c>
      <c r="D39" s="8" t="s">
        <v>95</v>
      </c>
      <c r="E39" s="28">
        <v>20</v>
      </c>
      <c r="F39" s="40"/>
      <c r="G39" s="34" t="s">
        <v>47</v>
      </c>
      <c r="H39" s="44" t="s">
        <v>149</v>
      </c>
    </row>
    <row r="40" spans="2:8" ht="25.15" customHeight="1">
      <c r="B40" s="49"/>
      <c r="C40" s="8" t="s">
        <v>62</v>
      </c>
      <c r="D40" s="8" t="s">
        <v>96</v>
      </c>
      <c r="E40" s="28">
        <v>64</v>
      </c>
      <c r="F40" s="40"/>
      <c r="G40" s="34" t="s">
        <v>48</v>
      </c>
      <c r="H40" s="44" t="s">
        <v>148</v>
      </c>
    </row>
    <row r="41" spans="2:8" ht="25.15" customHeight="1">
      <c r="B41" s="51" t="s">
        <v>67</v>
      </c>
      <c r="C41" s="52"/>
      <c r="D41" s="52"/>
      <c r="E41" s="22"/>
      <c r="F41" s="53"/>
      <c r="G41" s="39"/>
      <c r="H41" s="44"/>
    </row>
    <row r="42" spans="2:8" ht="25.15" customHeight="1">
      <c r="B42" s="5" t="s">
        <v>106</v>
      </c>
      <c r="C42" s="8" t="s">
        <v>110</v>
      </c>
      <c r="D42" s="12" t="s">
        <v>100</v>
      </c>
      <c r="E42" s="28">
        <v>3</v>
      </c>
      <c r="F42" s="7"/>
      <c r="G42" s="34" t="s">
        <v>154</v>
      </c>
      <c r="H42" s="44" t="s">
        <v>155</v>
      </c>
    </row>
    <row r="43" spans="2:8" ht="25.15" customHeight="1">
      <c r="B43" s="5" t="s">
        <v>105</v>
      </c>
      <c r="C43" s="8" t="s">
        <v>68</v>
      </c>
      <c r="D43" s="12" t="s">
        <v>97</v>
      </c>
      <c r="E43" s="28">
        <v>1</v>
      </c>
      <c r="F43" s="40"/>
      <c r="G43" s="34" t="s">
        <v>157</v>
      </c>
      <c r="H43" s="44" t="s">
        <v>156</v>
      </c>
    </row>
    <row r="44" spans="2:8" ht="25.15" customHeight="1">
      <c r="B44" s="49" t="s">
        <v>107</v>
      </c>
      <c r="C44" s="8" t="s">
        <v>69</v>
      </c>
      <c r="D44" s="12" t="s">
        <v>98</v>
      </c>
      <c r="E44" s="28">
        <v>1</v>
      </c>
      <c r="F44" s="40"/>
      <c r="G44" s="45" t="s">
        <v>157</v>
      </c>
      <c r="H44" s="44" t="s">
        <v>158</v>
      </c>
    </row>
    <row r="45" spans="2:8" ht="25.15" customHeight="1">
      <c r="B45" s="49" t="s">
        <v>108</v>
      </c>
      <c r="C45" s="8" t="s">
        <v>109</v>
      </c>
      <c r="D45" s="12" t="s">
        <v>111</v>
      </c>
      <c r="E45" s="28">
        <v>0</v>
      </c>
      <c r="F45" s="40"/>
      <c r="G45" s="40" t="s">
        <v>31</v>
      </c>
      <c r="H45" s="44" t="s">
        <v>139</v>
      </c>
    </row>
    <row r="46" spans="2:8" ht="25.15" customHeight="1" thickBot="1">
      <c r="B46" s="54"/>
      <c r="C46" s="55" t="s">
        <v>71</v>
      </c>
      <c r="D46" s="23" t="s">
        <v>99</v>
      </c>
      <c r="E46" s="29">
        <v>0</v>
      </c>
      <c r="F46" s="56"/>
      <c r="G46" s="41" t="s">
        <v>31</v>
      </c>
      <c r="H46" s="57" t="s">
        <v>160</v>
      </c>
    </row>
    <row r="47" spans="2:8" ht="25.15" customHeight="1"/>
    <row r="48" spans="2:8" ht="25.15" customHeight="1"/>
    <row r="49" ht="25.15" customHeight="1"/>
    <row r="50" ht="25.15" customHeight="1"/>
    <row r="51" ht="25.15" customHeight="1"/>
    <row r="52" ht="25.15" customHeight="1"/>
    <row r="53" ht="25.15" customHeight="1"/>
    <row r="54" ht="25.15" customHeight="1"/>
    <row r="55" ht="25.15" customHeight="1"/>
    <row r="56" ht="25.15" customHeight="1"/>
    <row r="57" ht="25.15" customHeight="1"/>
    <row r="58" ht="25.15" customHeight="1"/>
    <row r="59" ht="25.15" customHeight="1"/>
    <row r="60" ht="25.15" customHeight="1"/>
    <row r="61" ht="25.15" customHeight="1"/>
    <row r="62" ht="25.15" customHeight="1"/>
    <row r="63" ht="25.15" customHeight="1"/>
    <row r="64" ht="25.15" customHeight="1"/>
    <row r="65" ht="25.1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9:G11"/>
  <sheetViews>
    <sheetView showGridLines="0" showRowColHeaders="0" workbookViewId="0">
      <selection activeCell="F135" sqref="F135"/>
    </sheetView>
  </sheetViews>
  <sheetFormatPr defaultColWidth="8.7109375" defaultRowHeight="15"/>
  <cols>
    <col min="1" max="4" width="8.7109375" style="30"/>
    <col min="5" max="5" width="17.42578125" style="30" customWidth="1"/>
    <col min="6" max="6" width="42.42578125" style="30" customWidth="1"/>
    <col min="7" max="7" width="27" style="30" customWidth="1"/>
    <col min="8" max="16384" width="8.7109375" style="30"/>
  </cols>
  <sheetData>
    <row r="9" spans="6:7" ht="87.75">
      <c r="F9" s="31"/>
      <c r="G9" s="32"/>
    </row>
    <row r="11" spans="6:7" ht="28.5">
      <c r="F11" s="58"/>
      <c r="G11" s="58"/>
    </row>
  </sheetData>
  <mergeCells count="1">
    <mergeCell ref="F11:G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1"/>
  <sheetViews>
    <sheetView workbookViewId="0">
      <selection activeCell="E30" sqref="E30"/>
    </sheetView>
  </sheetViews>
  <sheetFormatPr defaultColWidth="8.7109375" defaultRowHeight="15"/>
  <cols>
    <col min="1" max="1" width="35.42578125" style="26" customWidth="1"/>
    <col min="2" max="2" width="19.28515625" style="26" customWidth="1"/>
    <col min="3" max="3" width="19.5703125" style="26" customWidth="1"/>
    <col min="4" max="4" width="19.7109375" style="26" customWidth="1"/>
    <col min="5" max="5" width="12.42578125" style="26" customWidth="1"/>
    <col min="6" max="6" width="23.7109375" style="26" bestFit="1" customWidth="1"/>
    <col min="7" max="7" width="26.42578125" style="26" customWidth="1"/>
    <col min="8" max="8" width="13.42578125" style="26" customWidth="1"/>
    <col min="9" max="9" width="13.7109375" style="26" customWidth="1"/>
    <col min="10" max="10" width="14.140625" style="26" customWidth="1"/>
    <col min="11" max="16384" width="8.7109375" style="26"/>
  </cols>
  <sheetData>
    <row r="1" spans="1:10" s="25" customFormat="1">
      <c r="A1" s="25" t="s">
        <v>113</v>
      </c>
      <c r="B1" s="24" t="s">
        <v>54</v>
      </c>
      <c r="C1" s="24" t="s">
        <v>136</v>
      </c>
      <c r="D1" s="24" t="s">
        <v>60</v>
      </c>
      <c r="E1" s="10" t="s">
        <v>100</v>
      </c>
      <c r="F1" s="10" t="s">
        <v>97</v>
      </c>
      <c r="G1" s="10" t="s">
        <v>98</v>
      </c>
      <c r="H1" s="25" t="s">
        <v>119</v>
      </c>
      <c r="I1" s="25" t="s">
        <v>125</v>
      </c>
      <c r="J1" s="25" t="s">
        <v>138</v>
      </c>
    </row>
    <row r="2" spans="1:10">
      <c r="A2" s="26" t="s">
        <v>122</v>
      </c>
      <c r="B2" s="26" t="s">
        <v>127</v>
      </c>
      <c r="C2" s="26" t="s">
        <v>134</v>
      </c>
      <c r="D2" s="26" t="s">
        <v>115</v>
      </c>
      <c r="E2" s="26">
        <v>3</v>
      </c>
      <c r="F2" s="26" t="s">
        <v>116</v>
      </c>
      <c r="G2" s="26" t="s">
        <v>117</v>
      </c>
      <c r="H2" s="26">
        <v>3</v>
      </c>
      <c r="I2" s="26">
        <f>LEN(TRIM(Arguments!E8))-LEN(SUBSTITUTE(Arguments!E8," ",""))</f>
        <v>3</v>
      </c>
      <c r="J2" s="26">
        <v>17</v>
      </c>
    </row>
    <row r="3" spans="1:10">
      <c r="A3" s="26" t="s">
        <v>123</v>
      </c>
      <c r="B3" s="26" t="s">
        <v>133</v>
      </c>
      <c r="C3" s="26" t="s">
        <v>135</v>
      </c>
      <c r="D3" s="26" t="s">
        <v>114</v>
      </c>
      <c r="E3" s="26">
        <v>4</v>
      </c>
      <c r="F3" s="26" t="s">
        <v>121</v>
      </c>
      <c r="G3" s="26" t="s">
        <v>118</v>
      </c>
    </row>
    <row r="4" spans="1:10" ht="15.75">
      <c r="A4" s="33" t="s">
        <v>124</v>
      </c>
      <c r="B4" s="26" t="s">
        <v>128</v>
      </c>
      <c r="E4" s="26">
        <v>5</v>
      </c>
    </row>
    <row r="7" spans="1:10">
      <c r="G7" s="10"/>
      <c r="H7" s="10"/>
      <c r="I7" s="10"/>
    </row>
    <row r="8" spans="1:10">
      <c r="G8" s="10"/>
      <c r="H8" s="27"/>
      <c r="I8" s="10"/>
    </row>
    <row r="9" spans="1:10">
      <c r="G9" s="10"/>
      <c r="H9" s="27"/>
      <c r="I9" s="10"/>
    </row>
    <row r="10" spans="1:10">
      <c r="F10" s="10"/>
      <c r="G10" s="10"/>
      <c r="H10" s="27"/>
      <c r="I10" s="10"/>
    </row>
    <row r="11" spans="1:10">
      <c r="F11" s="10"/>
      <c r="G11" s="10"/>
      <c r="H11" s="27"/>
      <c r="I11" s="1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Arguments</vt:lpstr>
      <vt:lpstr>Loading</vt:lpstr>
      <vt:lpstr>LookupList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PALMA FERNANDEZ Bianey (JRC-SEVILLA-EXT)</dc:creator>
  <cp:lastModifiedBy>SERRUYS Hannes (JRC-SEVILLA)</cp:lastModifiedBy>
  <dcterms:created xsi:type="dcterms:W3CDTF">2006-09-16T00:00:00Z</dcterms:created>
  <dcterms:modified xsi:type="dcterms:W3CDTF">2022-12-07T13:25:28Z</dcterms:modified>
</cp:coreProperties>
</file>